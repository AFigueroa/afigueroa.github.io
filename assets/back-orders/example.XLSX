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torres\Desktop\"/>
    </mc:Choice>
  </mc:AlternateContent>
  <bookViews>
    <workbookView xWindow="0" yWindow="0" windowWidth="28800" windowHeight="12435"/>
  </bookViews>
  <sheets>
    <sheet name="Purchase Orders - Open Purchase" sheetId="1" r:id="rId1"/>
  </sheets>
  <calcPr calcId="152511"/>
</workbook>
</file>

<file path=xl/calcChain.xml><?xml version="1.0" encoding="utf-8"?>
<calcChain xmlns="http://schemas.openxmlformats.org/spreadsheetml/2006/main">
  <c r="B160" i="1" l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<sst xmlns="http://schemas.openxmlformats.org/spreadsheetml/2006/main" count="481" uniqueCount="172">
  <si>
    <t>Contract Number</t>
  </si>
  <si>
    <t>Promised Date</t>
  </si>
  <si>
    <t>PO Number</t>
  </si>
  <si>
    <t>Confirm With</t>
  </si>
  <si>
    <t>platforma</t>
  </si>
  <si>
    <t>PO0009270</t>
  </si>
  <si>
    <t>CENTRO LIC ALM 2</t>
  </si>
  <si>
    <t>plataforma</t>
  </si>
  <si>
    <t>PO0009010</t>
  </si>
  <si>
    <t>PO0009232</t>
  </si>
  <si>
    <t>CENTRO LIQUIDACION</t>
  </si>
  <si>
    <t>PO0009268</t>
  </si>
  <si>
    <t>PO0009335</t>
  </si>
  <si>
    <t>PO0009395</t>
  </si>
  <si>
    <t/>
  </si>
  <si>
    <t>PO0009543</t>
  </si>
  <si>
    <t>patio</t>
  </si>
  <si>
    <t>PO0009276</t>
  </si>
  <si>
    <t>PO0009333</t>
  </si>
  <si>
    <t>PO0009334</t>
  </si>
  <si>
    <t>MUELLE</t>
  </si>
  <si>
    <t>PO0008929</t>
  </si>
  <si>
    <t>PO0008968</t>
  </si>
  <si>
    <t>PO0009013</t>
  </si>
  <si>
    <t>PO0009026</t>
  </si>
  <si>
    <t>PO0009167</t>
  </si>
  <si>
    <t>PO0009198</t>
  </si>
  <si>
    <t>PO0009199</t>
  </si>
  <si>
    <t>PO0009221</t>
  </si>
  <si>
    <t>PO0009254</t>
  </si>
  <si>
    <t>PO0009255</t>
  </si>
  <si>
    <t>PO0009262</t>
  </si>
  <si>
    <t>PO0009277</t>
  </si>
  <si>
    <t>PO0009280</t>
  </si>
  <si>
    <t>PO0009282</t>
  </si>
  <si>
    <t>PO0009299</t>
  </si>
  <si>
    <t>PO0009301</t>
  </si>
  <si>
    <t>PO0009396</t>
  </si>
  <si>
    <t>PO0009397</t>
  </si>
  <si>
    <t>PO0009398</t>
  </si>
  <si>
    <t>PO0009431</t>
  </si>
  <si>
    <t>PO0009447</t>
  </si>
  <si>
    <t>PO0009448</t>
  </si>
  <si>
    <t>PO0009466</t>
  </si>
  <si>
    <t>PO0009469</t>
  </si>
  <si>
    <t>PO0009479</t>
  </si>
  <si>
    <t>PO0009541</t>
  </si>
  <si>
    <t>PO0009594</t>
  </si>
  <si>
    <t>PO0009595</t>
  </si>
  <si>
    <t>PO0009596</t>
  </si>
  <si>
    <t>PO0009624</t>
  </si>
  <si>
    <t>PO0009646</t>
  </si>
  <si>
    <t>PO0009730</t>
  </si>
  <si>
    <t>PO0009898</t>
  </si>
  <si>
    <t>AGUA</t>
  </si>
  <si>
    <t>PO0008930</t>
  </si>
  <si>
    <t>PO0008994</t>
  </si>
  <si>
    <t>PO0009038</t>
  </si>
  <si>
    <t>PO0009042</t>
  </si>
  <si>
    <t>PO0009049</t>
  </si>
  <si>
    <t>PO0009060</t>
  </si>
  <si>
    <t>PO0009064</t>
  </si>
  <si>
    <t>PO0009080</t>
  </si>
  <si>
    <t>PO0009107</t>
  </si>
  <si>
    <t>PO0009108</t>
  </si>
  <si>
    <t>PO0009132</t>
  </si>
  <si>
    <t>PO0009161</t>
  </si>
  <si>
    <t>PO0009182</t>
  </si>
  <si>
    <t>PO0009183</t>
  </si>
  <si>
    <t>PO0009191</t>
  </si>
  <si>
    <t>PO0009192</t>
  </si>
  <si>
    <t>PO0009200</t>
  </si>
  <si>
    <t>PO0009201</t>
  </si>
  <si>
    <t>PO0009214</t>
  </si>
  <si>
    <t>PO0009215</t>
  </si>
  <si>
    <t>PO0009216</t>
  </si>
  <si>
    <t>PO0009223</t>
  </si>
  <si>
    <t>PO0009224</t>
  </si>
  <si>
    <t>PO0009225</t>
  </si>
  <si>
    <t>PO0009226</t>
  </si>
  <si>
    <t>PO0009227</t>
  </si>
  <si>
    <t>PO0009228</t>
  </si>
  <si>
    <t>PO0009237</t>
  </si>
  <si>
    <t>PO0009247</t>
  </si>
  <si>
    <t>PO0009256</t>
  </si>
  <si>
    <t>PO0009257</t>
  </si>
  <si>
    <t>PO0009267</t>
  </si>
  <si>
    <t>PO0009269</t>
  </si>
  <si>
    <t>PO0009271</t>
  </si>
  <si>
    <t>PO0009286</t>
  </si>
  <si>
    <t>PO0009296</t>
  </si>
  <si>
    <t>PO0009298</t>
  </si>
  <si>
    <t>PO0009300</t>
  </si>
  <si>
    <t>PO0009302</t>
  </si>
  <si>
    <t>PO0009319</t>
  </si>
  <si>
    <t>PO0009331</t>
  </si>
  <si>
    <t>PO0009332</t>
  </si>
  <si>
    <t>PO0009336</t>
  </si>
  <si>
    <t>PO0009337</t>
  </si>
  <si>
    <t>PO0009338</t>
  </si>
  <si>
    <t>PO0009348</t>
  </si>
  <si>
    <t>PO0009352</t>
  </si>
  <si>
    <t>PO0009356</t>
  </si>
  <si>
    <t>PO0009360</t>
  </si>
  <si>
    <t>PO0009362</t>
  </si>
  <si>
    <t>PO0009363</t>
  </si>
  <si>
    <t>PO0009364</t>
  </si>
  <si>
    <t>PO0009365</t>
  </si>
  <si>
    <t>PO0009371</t>
  </si>
  <si>
    <t>PO0009373</t>
  </si>
  <si>
    <t>PO0009381</t>
  </si>
  <si>
    <t>PO0009400</t>
  </si>
  <si>
    <t>PO0009402</t>
  </si>
  <si>
    <t>PO0009418</t>
  </si>
  <si>
    <t>PO0009422</t>
  </si>
  <si>
    <t>PO0009425</t>
  </si>
  <si>
    <t>PO0009453</t>
  </si>
  <si>
    <t>PO0009463</t>
  </si>
  <si>
    <t>PO0009464</t>
  </si>
  <si>
    <t>PO0009465</t>
  </si>
  <si>
    <t>PO0009467</t>
  </si>
  <si>
    <t>PO0009468</t>
  </si>
  <si>
    <t>PO0009483</t>
  </si>
  <si>
    <t>PO0009484</t>
  </si>
  <si>
    <t>PO0009485</t>
  </si>
  <si>
    <t>PO0009486</t>
  </si>
  <si>
    <t>PO0009489</t>
  </si>
  <si>
    <t>PO0009490</t>
  </si>
  <si>
    <t>ALMACEN CAGUAS</t>
  </si>
  <si>
    <t>PO0009506</t>
  </si>
  <si>
    <t>PO0009512</t>
  </si>
  <si>
    <t>PO0009513</t>
  </si>
  <si>
    <t>PO0009515</t>
  </si>
  <si>
    <t>PO0009516</t>
  </si>
  <si>
    <t>PO0009517</t>
  </si>
  <si>
    <t>PO0009518</t>
  </si>
  <si>
    <t>PO0009519</t>
  </si>
  <si>
    <t>PO0009520</t>
  </si>
  <si>
    <t>PO0009521</t>
  </si>
  <si>
    <t>PO0009522</t>
  </si>
  <si>
    <t>PO0009523</t>
  </si>
  <si>
    <t>PO0009527</t>
  </si>
  <si>
    <t>PO0009530</t>
  </si>
  <si>
    <t>PO0009531</t>
  </si>
  <si>
    <t>PO0009536</t>
  </si>
  <si>
    <t>PO0009540</t>
  </si>
  <si>
    <t>PO0009544</t>
  </si>
  <si>
    <t>PO0009550</t>
  </si>
  <si>
    <t>PO0009552</t>
  </si>
  <si>
    <t>PO0009574</t>
  </si>
  <si>
    <t>PO0009585</t>
  </si>
  <si>
    <t>PO0009588</t>
  </si>
  <si>
    <t>PO0009589</t>
  </si>
  <si>
    <t>PO0009600</t>
  </si>
  <si>
    <t>PO0009604</t>
  </si>
  <si>
    <t>PO0009611</t>
  </si>
  <si>
    <t>PO0009614</t>
  </si>
  <si>
    <t>PO0009619</t>
  </si>
  <si>
    <t>PO0009620</t>
  </si>
  <si>
    <t>PO0009621</t>
  </si>
  <si>
    <t>PO0009622</t>
  </si>
  <si>
    <t>PO0009627</t>
  </si>
  <si>
    <t>PO0009635</t>
  </si>
  <si>
    <t>PO0009669</t>
  </si>
  <si>
    <t>PO0009684</t>
  </si>
  <si>
    <t>PO0009690</t>
  </si>
  <si>
    <t>PO0009694</t>
  </si>
  <si>
    <t>PO0009722</t>
  </si>
  <si>
    <t>PO0009897</t>
  </si>
  <si>
    <t>PO0009909</t>
  </si>
  <si>
    <t>PO0009928</t>
  </si>
  <si>
    <t>PO0009929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</si>
</sst>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9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tabSelected="1" workbookViewId="0"/>
  </sheetViews>
  <sheetFormatPr defaultRowHeight="15" x14ac:dyDescent="0.2"/>
  <cols>
    <col min="1" max="1" width="14.6640625" customWidth="1"/>
    <col min="2" max="2" width="14.6640625" style="1" customWidth="1"/>
    <col min="3" max="3" width="15.5" customWidth="1"/>
    <col min="4" max="4" width="22" bestFit="1" customWidth="1"/>
  </cols>
  <sheetData>
    <row r="1" spans="1:4" ht="17.4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ht="17.45" customHeight="1" x14ac:dyDescent="0.2">
      <c r="A2" t="s">
        <v>4</v>
      </c>
      <c r="B2" s="1">
        <f>DATE(2020,10,11)</f>
        <v>44115</v>
      </c>
      <c r="C2" t="s">
        <v>5</v>
      </c>
      <c r="D2" t="s">
        <v>6</v>
      </c>
    </row>
    <row r="3" spans="1:4" ht="17.45" customHeight="1" x14ac:dyDescent="0.2">
      <c r="A3" t="s">
        <v>7</v>
      </c>
      <c r="B3" s="1">
        <f>DATE(2020,10,10)</f>
        <v>44114</v>
      </c>
      <c r="C3" t="s">
        <v>8</v>
      </c>
      <c r="D3" t="s">
        <v>6</v>
      </c>
    </row>
    <row r="4" spans="1:4" ht="17.45" customHeight="1" x14ac:dyDescent="0.2">
      <c r="A4" t="s">
        <v>7</v>
      </c>
      <c r="B4" s="1">
        <f>DATE(2020,10,10)</f>
        <v>44114</v>
      </c>
      <c r="C4" t="s">
        <v>9</v>
      </c>
      <c r="D4" t="s">
        <v>10</v>
      </c>
    </row>
    <row r="5" spans="1:4" ht="17.45" customHeight="1" x14ac:dyDescent="0.2">
      <c r="A5" t="s">
        <v>7</v>
      </c>
      <c r="B5" s="1">
        <f>DATE(2020,10,11)</f>
        <v>44115</v>
      </c>
      <c r="C5" t="s">
        <v>11</v>
      </c>
      <c r="D5" t="s">
        <v>6</v>
      </c>
    </row>
    <row r="6" spans="1:4" ht="17.45" customHeight="1" x14ac:dyDescent="0.2">
      <c r="A6" t="s">
        <v>7</v>
      </c>
      <c r="B6" s="1">
        <f>DATE(2020,10,5)</f>
        <v>44109</v>
      </c>
      <c r="C6" t="s">
        <v>12</v>
      </c>
      <c r="D6" t="s">
        <v>10</v>
      </c>
    </row>
    <row r="7" spans="1:4" ht="17.45" customHeight="1" x14ac:dyDescent="0.2">
      <c r="A7" t="s">
        <v>7</v>
      </c>
      <c r="B7" s="1">
        <f>DATE(2020,10,5)</f>
        <v>44109</v>
      </c>
      <c r="C7" t="s">
        <v>13</v>
      </c>
      <c r="D7" t="s">
        <v>14</v>
      </c>
    </row>
    <row r="8" spans="1:4" ht="17.45" customHeight="1" x14ac:dyDescent="0.2">
      <c r="A8" t="s">
        <v>7</v>
      </c>
      <c r="B8" s="1">
        <f>DATE(2020,10,13)</f>
        <v>44117</v>
      </c>
      <c r="C8" t="s">
        <v>15</v>
      </c>
      <c r="D8" t="s">
        <v>10</v>
      </c>
    </row>
    <row r="9" spans="1:4" ht="17.45" customHeight="1" x14ac:dyDescent="0.2">
      <c r="A9" t="s">
        <v>16</v>
      </c>
      <c r="B9" s="1">
        <f>DATE(2020,10,10)</f>
        <v>44114</v>
      </c>
      <c r="C9" t="s">
        <v>17</v>
      </c>
      <c r="D9" t="s">
        <v>10</v>
      </c>
    </row>
    <row r="10" spans="1:4" ht="17.45" customHeight="1" x14ac:dyDescent="0.2">
      <c r="A10" t="s">
        <v>16</v>
      </c>
      <c r="B10" s="1">
        <f>DATE(2020,10,5)</f>
        <v>44109</v>
      </c>
      <c r="C10" t="s">
        <v>18</v>
      </c>
      <c r="D10" t="s">
        <v>10</v>
      </c>
    </row>
    <row r="11" spans="1:4" ht="17.45" customHeight="1" x14ac:dyDescent="0.2">
      <c r="A11" t="s">
        <v>16</v>
      </c>
      <c r="B11" s="1">
        <f>DATE(2020,10,5)</f>
        <v>44109</v>
      </c>
      <c r="C11" t="s">
        <v>19</v>
      </c>
      <c r="D11" t="s">
        <v>10</v>
      </c>
    </row>
    <row r="12" spans="1:4" ht="17.45" customHeight="1" x14ac:dyDescent="0.2">
      <c r="A12" t="s">
        <v>20</v>
      </c>
      <c r="B12" s="1">
        <f>DATE(2020,10,11)</f>
        <v>44115</v>
      </c>
      <c r="C12" t="s">
        <v>21</v>
      </c>
      <c r="D12" t="s">
        <v>6</v>
      </c>
    </row>
    <row r="13" spans="1:4" ht="17.45" customHeight="1" x14ac:dyDescent="0.2">
      <c r="A13" t="s">
        <v>20</v>
      </c>
      <c r="B13" s="1">
        <f>DATE(2020,10,10)</f>
        <v>44114</v>
      </c>
      <c r="C13" t="s">
        <v>22</v>
      </c>
      <c r="D13" t="s">
        <v>10</v>
      </c>
    </row>
    <row r="14" spans="1:4" ht="17.45" customHeight="1" x14ac:dyDescent="0.2">
      <c r="A14" t="s">
        <v>20</v>
      </c>
      <c r="B14" s="1">
        <f>DATE(2020,10,10)</f>
        <v>44114</v>
      </c>
      <c r="C14" t="s">
        <v>23</v>
      </c>
      <c r="D14" t="s">
        <v>6</v>
      </c>
    </row>
    <row r="15" spans="1:4" ht="17.45" customHeight="1" x14ac:dyDescent="0.2">
      <c r="A15" t="s">
        <v>20</v>
      </c>
      <c r="B15" s="1">
        <f>DATE(2020,10,10)</f>
        <v>44114</v>
      </c>
      <c r="C15" t="s">
        <v>24</v>
      </c>
      <c r="D15" t="s">
        <v>10</v>
      </c>
    </row>
    <row r="16" spans="1:4" ht="17.45" customHeight="1" x14ac:dyDescent="0.2">
      <c r="A16" t="s">
        <v>20</v>
      </c>
      <c r="B16" s="1">
        <f>DATE(2020,10,19)</f>
        <v>44123</v>
      </c>
      <c r="C16" t="s">
        <v>25</v>
      </c>
      <c r="D16" t="s">
        <v>10</v>
      </c>
    </row>
    <row r="17" spans="1:4" ht="17.45" customHeight="1" x14ac:dyDescent="0.2">
      <c r="A17" t="s">
        <v>20</v>
      </c>
      <c r="B17" s="1">
        <f>DATE(2020,10,12)</f>
        <v>44116</v>
      </c>
      <c r="C17" t="s">
        <v>26</v>
      </c>
      <c r="D17" t="s">
        <v>10</v>
      </c>
    </row>
    <row r="18" spans="1:4" ht="17.45" customHeight="1" x14ac:dyDescent="0.2">
      <c r="A18" t="s">
        <v>20</v>
      </c>
      <c r="B18" s="1">
        <f>DATE(2020,10,19)</f>
        <v>44123</v>
      </c>
      <c r="C18" t="s">
        <v>27</v>
      </c>
      <c r="D18" t="s">
        <v>10</v>
      </c>
    </row>
    <row r="19" spans="1:4" ht="17.45" customHeight="1" x14ac:dyDescent="0.2">
      <c r="A19" t="s">
        <v>20</v>
      </c>
      <c r="B19" s="1">
        <f>DATE(2020,10,19)</f>
        <v>44123</v>
      </c>
      <c r="C19" t="s">
        <v>28</v>
      </c>
      <c r="D19" t="s">
        <v>6</v>
      </c>
    </row>
    <row r="20" spans="1:4" ht="17.45" customHeight="1" x14ac:dyDescent="0.2">
      <c r="A20" t="s">
        <v>20</v>
      </c>
      <c r="B20" s="1">
        <f>DATE(2020,10,12)</f>
        <v>44116</v>
      </c>
      <c r="C20" t="s">
        <v>29</v>
      </c>
      <c r="D20" t="s">
        <v>10</v>
      </c>
    </row>
    <row r="21" spans="1:4" ht="17.45" customHeight="1" x14ac:dyDescent="0.2">
      <c r="A21" t="s">
        <v>20</v>
      </c>
      <c r="B21" s="1">
        <f>DATE(2020,10,13)</f>
        <v>44117</v>
      </c>
      <c r="C21" t="s">
        <v>30</v>
      </c>
      <c r="D21" t="s">
        <v>10</v>
      </c>
    </row>
    <row r="22" spans="1:4" ht="17.45" customHeight="1" x14ac:dyDescent="0.2">
      <c r="A22" t="s">
        <v>20</v>
      </c>
      <c r="B22" s="1">
        <f>DATE(2020,10,10)</f>
        <v>44114</v>
      </c>
      <c r="C22" t="s">
        <v>31</v>
      </c>
      <c r="D22" t="s">
        <v>6</v>
      </c>
    </row>
    <row r="23" spans="1:4" ht="17.45" customHeight="1" x14ac:dyDescent="0.2">
      <c r="A23" t="s">
        <v>20</v>
      </c>
      <c r="B23" s="1">
        <f>DATE(2020,10,10)</f>
        <v>44114</v>
      </c>
      <c r="C23" t="s">
        <v>32</v>
      </c>
      <c r="D23" t="s">
        <v>10</v>
      </c>
    </row>
    <row r="24" spans="1:4" ht="17.45" customHeight="1" x14ac:dyDescent="0.2">
      <c r="A24" t="s">
        <v>20</v>
      </c>
      <c r="B24" s="1">
        <f>DATE(2020,10,10)</f>
        <v>44114</v>
      </c>
      <c r="C24" t="s">
        <v>33</v>
      </c>
      <c r="D24" t="s">
        <v>10</v>
      </c>
    </row>
    <row r="25" spans="1:4" ht="17.45" customHeight="1" x14ac:dyDescent="0.2">
      <c r="A25" t="s">
        <v>20</v>
      </c>
      <c r="B25" s="1">
        <f>DATE(2020,10,10)</f>
        <v>44114</v>
      </c>
      <c r="C25" t="s">
        <v>34</v>
      </c>
      <c r="D25" t="s">
        <v>10</v>
      </c>
    </row>
    <row r="26" spans="1:4" ht="17.45" customHeight="1" x14ac:dyDescent="0.2">
      <c r="A26" t="s">
        <v>20</v>
      </c>
      <c r="B26" s="1">
        <f>DATE(2020,10,11)</f>
        <v>44115</v>
      </c>
      <c r="C26" t="s">
        <v>35</v>
      </c>
      <c r="D26" t="s">
        <v>10</v>
      </c>
    </row>
    <row r="27" spans="1:4" ht="17.45" customHeight="1" x14ac:dyDescent="0.2">
      <c r="A27" t="s">
        <v>20</v>
      </c>
      <c r="B27" s="1">
        <f>DATE(2020,10,11)</f>
        <v>44115</v>
      </c>
      <c r="C27" t="s">
        <v>36</v>
      </c>
      <c r="D27" t="s">
        <v>10</v>
      </c>
    </row>
    <row r="28" spans="1:4" ht="17.45" customHeight="1" x14ac:dyDescent="0.2">
      <c r="A28" t="s">
        <v>20</v>
      </c>
      <c r="B28" s="1">
        <f>DATE(2020,10,12)</f>
        <v>44116</v>
      </c>
      <c r="C28" t="s">
        <v>37</v>
      </c>
      <c r="D28" t="s">
        <v>10</v>
      </c>
    </row>
    <row r="29" spans="1:4" ht="17.45" customHeight="1" x14ac:dyDescent="0.2">
      <c r="A29" t="s">
        <v>20</v>
      </c>
      <c r="B29" s="1">
        <f>DATE(2020,10,19)</f>
        <v>44123</v>
      </c>
      <c r="C29" t="s">
        <v>38</v>
      </c>
      <c r="D29" t="s">
        <v>10</v>
      </c>
    </row>
    <row r="30" spans="1:4" ht="17.45" customHeight="1" x14ac:dyDescent="0.2">
      <c r="A30" t="s">
        <v>20</v>
      </c>
      <c r="B30" s="1">
        <f>DATE(2020,10,19)</f>
        <v>44123</v>
      </c>
      <c r="C30" t="s">
        <v>39</v>
      </c>
      <c r="D30" t="s">
        <v>10</v>
      </c>
    </row>
    <row r="31" spans="1:4" ht="17.45" customHeight="1" x14ac:dyDescent="0.2">
      <c r="A31" t="s">
        <v>20</v>
      </c>
      <c r="B31" s="1">
        <f>DATE(2020,10,11)</f>
        <v>44115</v>
      </c>
      <c r="C31" t="s">
        <v>40</v>
      </c>
      <c r="D31" t="s">
        <v>10</v>
      </c>
    </row>
    <row r="32" spans="1:4" ht="17.45" customHeight="1" x14ac:dyDescent="0.2">
      <c r="A32" t="s">
        <v>20</v>
      </c>
      <c r="B32" s="1">
        <f>DATE(2020,10,17)</f>
        <v>44121</v>
      </c>
      <c r="C32" t="s">
        <v>41</v>
      </c>
      <c r="D32" t="s">
        <v>14</v>
      </c>
    </row>
    <row r="33" spans="1:4" ht="17.45" customHeight="1" x14ac:dyDescent="0.2">
      <c r="A33" t="s">
        <v>20</v>
      </c>
      <c r="B33" s="1">
        <f>DATE(2020,10,17)</f>
        <v>44121</v>
      </c>
      <c r="C33" t="s">
        <v>42</v>
      </c>
      <c r="D33" t="s">
        <v>14</v>
      </c>
    </row>
    <row r="34" spans="1:4" ht="17.45" customHeight="1" x14ac:dyDescent="0.2">
      <c r="A34" t="s">
        <v>20</v>
      </c>
      <c r="B34" s="1">
        <f>DATE(2020,10,17)</f>
        <v>44121</v>
      </c>
      <c r="C34" t="s">
        <v>43</v>
      </c>
      <c r="D34" t="s">
        <v>14</v>
      </c>
    </row>
    <row r="35" spans="1:4" ht="17.45" customHeight="1" x14ac:dyDescent="0.2">
      <c r="A35" t="s">
        <v>20</v>
      </c>
      <c r="B35" s="1">
        <f>DATE(2020,10,18)</f>
        <v>44122</v>
      </c>
      <c r="C35" t="s">
        <v>44</v>
      </c>
      <c r="D35" t="s">
        <v>14</v>
      </c>
    </row>
    <row r="36" spans="1:4" ht="17.45" customHeight="1" x14ac:dyDescent="0.2">
      <c r="A36" t="s">
        <v>20</v>
      </c>
      <c r="B36" s="1">
        <f>DATE(2020,10,18)</f>
        <v>44122</v>
      </c>
      <c r="C36" t="s">
        <v>45</v>
      </c>
      <c r="D36" t="s">
        <v>10</v>
      </c>
    </row>
    <row r="37" spans="1:4" ht="17.45" customHeight="1" x14ac:dyDescent="0.2">
      <c r="A37" t="s">
        <v>20</v>
      </c>
      <c r="B37" s="1">
        <f>DATE(2020,10,21)</f>
        <v>44125</v>
      </c>
      <c r="C37" t="s">
        <v>46</v>
      </c>
      <c r="D37" t="s">
        <v>14</v>
      </c>
    </row>
    <row r="38" spans="1:4" ht="17.45" customHeight="1" x14ac:dyDescent="0.2">
      <c r="A38" t="s">
        <v>20</v>
      </c>
      <c r="B38" s="1">
        <f>DATE(2020,10,21)</f>
        <v>44125</v>
      </c>
      <c r="C38" t="s">
        <v>47</v>
      </c>
      <c r="D38" t="s">
        <v>14</v>
      </c>
    </row>
    <row r="39" spans="1:4" ht="17.45" customHeight="1" x14ac:dyDescent="0.2">
      <c r="A39" t="s">
        <v>20</v>
      </c>
      <c r="B39" s="1">
        <f>DATE(2020,10,11)</f>
        <v>44115</v>
      </c>
      <c r="C39" t="s">
        <v>48</v>
      </c>
      <c r="D39" t="s">
        <v>10</v>
      </c>
    </row>
    <row r="40" spans="1:4" ht="17.45" customHeight="1" x14ac:dyDescent="0.2">
      <c r="A40" t="s">
        <v>20</v>
      </c>
      <c r="B40" s="1">
        <f>DATE(2020,10,18)</f>
        <v>44122</v>
      </c>
      <c r="C40" t="s">
        <v>49</v>
      </c>
      <c r="D40" t="s">
        <v>10</v>
      </c>
    </row>
    <row r="41" spans="1:4" ht="17.45" customHeight="1" x14ac:dyDescent="0.2">
      <c r="A41" t="s">
        <v>20</v>
      </c>
      <c r="B41" s="1">
        <f>DATE(2020,10,21)</f>
        <v>44125</v>
      </c>
      <c r="C41" t="s">
        <v>50</v>
      </c>
      <c r="D41" t="s">
        <v>14</v>
      </c>
    </row>
    <row r="42" spans="1:4" ht="17.45" customHeight="1" x14ac:dyDescent="0.2">
      <c r="A42" t="s">
        <v>20</v>
      </c>
      <c r="B42" s="1">
        <f>DATE(2020,10,10)</f>
        <v>44114</v>
      </c>
      <c r="C42" t="s">
        <v>51</v>
      </c>
      <c r="D42" t="s">
        <v>10</v>
      </c>
    </row>
    <row r="43" spans="1:4" ht="17.45" customHeight="1" x14ac:dyDescent="0.2">
      <c r="A43" t="s">
        <v>20</v>
      </c>
      <c r="B43" s="1">
        <f>DATE(2020,10,18)</f>
        <v>44122</v>
      </c>
      <c r="C43" t="s">
        <v>52</v>
      </c>
      <c r="D43" t="s">
        <v>10</v>
      </c>
    </row>
    <row r="44" spans="1:4" ht="17.45" customHeight="1" x14ac:dyDescent="0.2">
      <c r="A44" t="s">
        <v>20</v>
      </c>
      <c r="B44" s="1">
        <f>DATE(2020,10,12)</f>
        <v>44116</v>
      </c>
      <c r="C44" t="s">
        <v>53</v>
      </c>
      <c r="D44" t="s">
        <v>14</v>
      </c>
    </row>
    <row r="45" spans="1:4" ht="17.45" customHeight="1" x14ac:dyDescent="0.2">
      <c r="A45" t="s">
        <v>54</v>
      </c>
      <c r="B45" s="1">
        <f>DATE(2020,10,31)</f>
        <v>44135</v>
      </c>
      <c r="C45" t="s">
        <v>55</v>
      </c>
      <c r="D45" t="s">
        <v>6</v>
      </c>
    </row>
    <row r="46" spans="1:4" ht="17.45" customHeight="1" x14ac:dyDescent="0.2">
      <c r="A46" t="s">
        <v>54</v>
      </c>
      <c r="B46" s="1">
        <f>DATE(2020,10,24)</f>
        <v>44128</v>
      </c>
      <c r="C46" t="s">
        <v>56</v>
      </c>
      <c r="D46" t="s">
        <v>14</v>
      </c>
    </row>
    <row r="47" spans="1:4" ht="17.45" customHeight="1" x14ac:dyDescent="0.2">
      <c r="A47" t="s">
        <v>54</v>
      </c>
      <c r="B47" s="1">
        <f>DATE(2020,10,29)</f>
        <v>44133</v>
      </c>
      <c r="C47" t="s">
        <v>57</v>
      </c>
      <c r="D47" t="s">
        <v>14</v>
      </c>
    </row>
    <row r="48" spans="1:4" ht="17.45" customHeight="1" x14ac:dyDescent="0.2">
      <c r="A48" t="s">
        <v>54</v>
      </c>
      <c r="B48" s="1">
        <f>DATE(2020,11,18)</f>
        <v>44153</v>
      </c>
      <c r="C48" t="s">
        <v>58</v>
      </c>
      <c r="D48" t="s">
        <v>14</v>
      </c>
    </row>
    <row r="49" spans="1:4" ht="17.45" customHeight="1" x14ac:dyDescent="0.2">
      <c r="A49" t="s">
        <v>54</v>
      </c>
      <c r="B49" s="1">
        <f>DATE(2020,10,25)</f>
        <v>44129</v>
      </c>
      <c r="C49" t="s">
        <v>59</v>
      </c>
      <c r="D49" t="s">
        <v>10</v>
      </c>
    </row>
    <row r="50" spans="1:4" ht="17.45" customHeight="1" x14ac:dyDescent="0.2">
      <c r="A50" t="s">
        <v>54</v>
      </c>
      <c r="B50" s="1">
        <f>DATE(2020,10,28)</f>
        <v>44132</v>
      </c>
      <c r="C50" t="s">
        <v>60</v>
      </c>
      <c r="D50" t="s">
        <v>14</v>
      </c>
    </row>
    <row r="51" spans="1:4" ht="17.45" customHeight="1" x14ac:dyDescent="0.2">
      <c r="A51" t="s">
        <v>54</v>
      </c>
      <c r="B51" s="1">
        <f>DATE(2020,10,29)</f>
        <v>44133</v>
      </c>
      <c r="C51" t="s">
        <v>61</v>
      </c>
      <c r="D51" t="s">
        <v>14</v>
      </c>
    </row>
    <row r="52" spans="1:4" ht="17.45" customHeight="1" x14ac:dyDescent="0.2">
      <c r="A52" t="s">
        <v>54</v>
      </c>
      <c r="B52" s="1">
        <f>DATE(2020,10,24)</f>
        <v>44128</v>
      </c>
      <c r="C52" t="s">
        <v>62</v>
      </c>
      <c r="D52" t="s">
        <v>14</v>
      </c>
    </row>
    <row r="53" spans="1:4" ht="17.45" customHeight="1" x14ac:dyDescent="0.2">
      <c r="A53" t="s">
        <v>54</v>
      </c>
      <c r="B53" s="1">
        <f>DATE(2020,11,8)</f>
        <v>44143</v>
      </c>
      <c r="C53" t="s">
        <v>63</v>
      </c>
      <c r="D53" t="s">
        <v>6</v>
      </c>
    </row>
    <row r="54" spans="1:4" ht="17.45" customHeight="1" x14ac:dyDescent="0.2">
      <c r="A54" t="s">
        <v>54</v>
      </c>
      <c r="B54" s="1">
        <f>DATE(2020,10,29)</f>
        <v>44133</v>
      </c>
      <c r="C54" t="s">
        <v>64</v>
      </c>
      <c r="D54" t="s">
        <v>10</v>
      </c>
    </row>
    <row r="55" spans="1:4" ht="17.45" customHeight="1" x14ac:dyDescent="0.2">
      <c r="A55" t="s">
        <v>54</v>
      </c>
      <c r="B55" s="1">
        <f>DATE(2020,10,24)</f>
        <v>44128</v>
      </c>
      <c r="C55" t="s">
        <v>65</v>
      </c>
      <c r="D55" t="s">
        <v>14</v>
      </c>
    </row>
    <row r="56" spans="1:4" ht="17.45" customHeight="1" x14ac:dyDescent="0.2">
      <c r="A56" t="s">
        <v>54</v>
      </c>
      <c r="B56" s="1">
        <f>DATE(2020,10,24)</f>
        <v>44128</v>
      </c>
      <c r="C56" t="s">
        <v>66</v>
      </c>
      <c r="D56" t="s">
        <v>10</v>
      </c>
    </row>
    <row r="57" spans="1:4" ht="17.45" customHeight="1" x14ac:dyDescent="0.2">
      <c r="A57" t="s">
        <v>54</v>
      </c>
      <c r="B57" s="1">
        <f>DATE(2020,10,24)</f>
        <v>44128</v>
      </c>
      <c r="C57" t="s">
        <v>67</v>
      </c>
      <c r="D57" t="s">
        <v>14</v>
      </c>
    </row>
    <row r="58" spans="1:4" ht="17.45" customHeight="1" x14ac:dyDescent="0.2">
      <c r="A58" t="s">
        <v>54</v>
      </c>
      <c r="B58" s="1">
        <f>DATE(2020,10,24)</f>
        <v>44128</v>
      </c>
      <c r="C58" t="s">
        <v>68</v>
      </c>
      <c r="D58" t="s">
        <v>14</v>
      </c>
    </row>
    <row r="59" spans="1:4" ht="17.45" customHeight="1" x14ac:dyDescent="0.2">
      <c r="A59" t="s">
        <v>54</v>
      </c>
      <c r="B59" s="1">
        <f>DATE(2020,10,22)</f>
        <v>44126</v>
      </c>
      <c r="C59" t="s">
        <v>69</v>
      </c>
      <c r="D59" t="s">
        <v>10</v>
      </c>
    </row>
    <row r="60" spans="1:4" ht="17.45" customHeight="1" x14ac:dyDescent="0.2">
      <c r="A60" t="s">
        <v>54</v>
      </c>
      <c r="B60" s="1">
        <f>DATE(2020,11,26)</f>
        <v>44161</v>
      </c>
      <c r="C60" t="s">
        <v>70</v>
      </c>
      <c r="D60" t="s">
        <v>10</v>
      </c>
    </row>
    <row r="61" spans="1:4" ht="17.45" customHeight="1" x14ac:dyDescent="0.2">
      <c r="A61" t="s">
        <v>54</v>
      </c>
      <c r="B61" s="1">
        <f>DATE(2020,10,21)</f>
        <v>44125</v>
      </c>
      <c r="C61" t="s">
        <v>71</v>
      </c>
      <c r="D61" t="s">
        <v>10</v>
      </c>
    </row>
    <row r="62" spans="1:4" ht="17.45" customHeight="1" x14ac:dyDescent="0.2">
      <c r="A62" t="s">
        <v>54</v>
      </c>
      <c r="B62" s="1">
        <f>DATE(2020,11,15)</f>
        <v>44150</v>
      </c>
      <c r="C62" t="s">
        <v>72</v>
      </c>
      <c r="D62" t="s">
        <v>14</v>
      </c>
    </row>
    <row r="63" spans="1:4" ht="17.45" customHeight="1" x14ac:dyDescent="0.2">
      <c r="A63" t="s">
        <v>54</v>
      </c>
      <c r="B63" s="1">
        <f>DATE(2020,11,22)</f>
        <v>44157</v>
      </c>
      <c r="C63" t="s">
        <v>73</v>
      </c>
      <c r="D63" t="s">
        <v>14</v>
      </c>
    </row>
    <row r="64" spans="1:4" ht="17.45" customHeight="1" x14ac:dyDescent="0.2">
      <c r="A64" t="s">
        <v>54</v>
      </c>
      <c r="B64" s="1">
        <f>DATE(2020,11,12)</f>
        <v>44147</v>
      </c>
      <c r="C64" t="s">
        <v>74</v>
      </c>
      <c r="D64" t="s">
        <v>10</v>
      </c>
    </row>
    <row r="65" spans="1:4" ht="17.45" customHeight="1" x14ac:dyDescent="0.2">
      <c r="A65" t="s">
        <v>54</v>
      </c>
      <c r="B65" s="1">
        <f>DATE(2020,11,12)</f>
        <v>44147</v>
      </c>
      <c r="C65" t="s">
        <v>75</v>
      </c>
      <c r="D65" t="s">
        <v>10</v>
      </c>
    </row>
    <row r="66" spans="1:4" ht="17.45" customHeight="1" x14ac:dyDescent="0.2">
      <c r="A66" t="s">
        <v>54</v>
      </c>
      <c r="B66" s="1">
        <f>DATE(2020,11,19)</f>
        <v>44154</v>
      </c>
      <c r="C66" t="s">
        <v>76</v>
      </c>
      <c r="D66" t="s">
        <v>14</v>
      </c>
    </row>
    <row r="67" spans="1:4" ht="17.45" customHeight="1" x14ac:dyDescent="0.2">
      <c r="A67" t="s">
        <v>54</v>
      </c>
      <c r="B67" s="1">
        <f>DATE(2020,11,17)</f>
        <v>44152</v>
      </c>
      <c r="C67" t="s">
        <v>77</v>
      </c>
      <c r="D67" t="s">
        <v>10</v>
      </c>
    </row>
    <row r="68" spans="1:4" ht="17.45" customHeight="1" x14ac:dyDescent="0.2">
      <c r="A68" t="s">
        <v>54</v>
      </c>
      <c r="B68" s="1">
        <f>DATE(2020,11,17)</f>
        <v>44152</v>
      </c>
      <c r="C68" t="s">
        <v>78</v>
      </c>
      <c r="D68" t="s">
        <v>10</v>
      </c>
    </row>
    <row r="69" spans="1:4" ht="17.45" customHeight="1" x14ac:dyDescent="0.2">
      <c r="A69" t="s">
        <v>54</v>
      </c>
      <c r="B69" s="1">
        <f>DATE(2020,11,17)</f>
        <v>44152</v>
      </c>
      <c r="C69" t="s">
        <v>79</v>
      </c>
      <c r="D69" t="s">
        <v>10</v>
      </c>
    </row>
    <row r="70" spans="1:4" ht="17.45" customHeight="1" x14ac:dyDescent="0.2">
      <c r="A70" t="s">
        <v>54</v>
      </c>
      <c r="B70" s="1">
        <f>DATE(2020,11,17)</f>
        <v>44152</v>
      </c>
      <c r="C70" t="s">
        <v>80</v>
      </c>
      <c r="D70" t="s">
        <v>10</v>
      </c>
    </row>
    <row r="71" spans="1:4" ht="17.45" customHeight="1" x14ac:dyDescent="0.2">
      <c r="A71" t="s">
        <v>54</v>
      </c>
      <c r="B71" s="1">
        <f>DATE(2020,11,17)</f>
        <v>44152</v>
      </c>
      <c r="C71" t="s">
        <v>81</v>
      </c>
      <c r="D71" t="s">
        <v>10</v>
      </c>
    </row>
    <row r="72" spans="1:4" ht="17.45" customHeight="1" x14ac:dyDescent="0.2">
      <c r="A72" t="s">
        <v>54</v>
      </c>
      <c r="B72" s="1">
        <f>DATE(2020,10,26)</f>
        <v>44130</v>
      </c>
      <c r="C72" t="s">
        <v>82</v>
      </c>
      <c r="D72" t="s">
        <v>10</v>
      </c>
    </row>
    <row r="73" spans="1:4" ht="17.45" customHeight="1" x14ac:dyDescent="0.2">
      <c r="A73" t="s">
        <v>54</v>
      </c>
      <c r="B73" s="1">
        <f>DATE(2020,11,19)</f>
        <v>44154</v>
      </c>
      <c r="C73" t="s">
        <v>83</v>
      </c>
      <c r="D73" t="s">
        <v>10</v>
      </c>
    </row>
    <row r="74" spans="1:4" ht="17.45" customHeight="1" x14ac:dyDescent="0.2">
      <c r="A74" t="s">
        <v>54</v>
      </c>
      <c r="B74" s="1">
        <f>DATE(2020,11,3)</f>
        <v>44138</v>
      </c>
      <c r="C74" t="s">
        <v>84</v>
      </c>
      <c r="D74" t="s">
        <v>10</v>
      </c>
    </row>
    <row r="75" spans="1:4" ht="17.45" customHeight="1" x14ac:dyDescent="0.2">
      <c r="A75" t="s">
        <v>54</v>
      </c>
      <c r="B75" s="1">
        <f>DATE(2020,11,16)</f>
        <v>44151</v>
      </c>
      <c r="C75" t="s">
        <v>85</v>
      </c>
      <c r="D75" t="s">
        <v>10</v>
      </c>
    </row>
    <row r="76" spans="1:4" ht="17.45" customHeight="1" x14ac:dyDescent="0.2">
      <c r="A76" t="s">
        <v>54</v>
      </c>
      <c r="B76" s="1">
        <f>DATE(2020,11,21)</f>
        <v>44156</v>
      </c>
      <c r="C76" t="s">
        <v>86</v>
      </c>
      <c r="D76" t="s">
        <v>10</v>
      </c>
    </row>
    <row r="77" spans="1:4" ht="17.45" customHeight="1" x14ac:dyDescent="0.2">
      <c r="A77" t="s">
        <v>54</v>
      </c>
      <c r="B77" s="1">
        <f>DATE(2020,10,21)</f>
        <v>44125</v>
      </c>
      <c r="C77" t="s">
        <v>87</v>
      </c>
      <c r="D77" t="s">
        <v>10</v>
      </c>
    </row>
    <row r="78" spans="1:4" ht="17.45" customHeight="1" x14ac:dyDescent="0.2">
      <c r="A78" t="s">
        <v>54</v>
      </c>
      <c r="B78" s="1">
        <f>DATE(2020,10,21)</f>
        <v>44125</v>
      </c>
      <c r="C78" t="s">
        <v>88</v>
      </c>
      <c r="D78" t="s">
        <v>6</v>
      </c>
    </row>
    <row r="79" spans="1:4" ht="17.45" customHeight="1" x14ac:dyDescent="0.2">
      <c r="A79" t="s">
        <v>54</v>
      </c>
      <c r="B79" s="1">
        <f>DATE(2020,11,19)</f>
        <v>44154</v>
      </c>
      <c r="C79" t="s">
        <v>89</v>
      </c>
      <c r="D79" t="s">
        <v>10</v>
      </c>
    </row>
    <row r="80" spans="1:4" ht="17.45" customHeight="1" x14ac:dyDescent="0.2">
      <c r="A80" t="s">
        <v>54</v>
      </c>
      <c r="B80" s="1">
        <f>DATE(2020,11,5)</f>
        <v>44140</v>
      </c>
      <c r="C80" t="s">
        <v>90</v>
      </c>
      <c r="D80" t="s">
        <v>10</v>
      </c>
    </row>
    <row r="81" spans="1:4" ht="17.45" customHeight="1" x14ac:dyDescent="0.2">
      <c r="A81" t="s">
        <v>54</v>
      </c>
      <c r="B81" s="1">
        <f>DATE(2020,10,21)</f>
        <v>44125</v>
      </c>
      <c r="C81" t="s">
        <v>91</v>
      </c>
      <c r="D81" t="s">
        <v>10</v>
      </c>
    </row>
    <row r="82" spans="1:4" ht="17.45" customHeight="1" x14ac:dyDescent="0.2">
      <c r="A82" t="s">
        <v>54</v>
      </c>
      <c r="B82" s="1">
        <f>DATE(2020,11,17)</f>
        <v>44152</v>
      </c>
      <c r="C82" t="s">
        <v>92</v>
      </c>
      <c r="D82" t="s">
        <v>10</v>
      </c>
    </row>
    <row r="83" spans="1:4" ht="17.45" customHeight="1" x14ac:dyDescent="0.2">
      <c r="A83" t="s">
        <v>54</v>
      </c>
      <c r="B83" s="1">
        <f>DATE(2020,11,17)</f>
        <v>44152</v>
      </c>
      <c r="C83" t="s">
        <v>93</v>
      </c>
      <c r="D83" t="s">
        <v>10</v>
      </c>
    </row>
    <row r="84" spans="1:4" ht="17.45" customHeight="1" x14ac:dyDescent="0.2">
      <c r="A84" t="s">
        <v>54</v>
      </c>
      <c r="B84" s="1">
        <f>DATE(2020,11,12)</f>
        <v>44147</v>
      </c>
      <c r="C84" t="s">
        <v>94</v>
      </c>
      <c r="D84" t="s">
        <v>10</v>
      </c>
    </row>
    <row r="85" spans="1:4" ht="17.45" customHeight="1" x14ac:dyDescent="0.2">
      <c r="A85" t="s">
        <v>54</v>
      </c>
      <c r="B85" s="1">
        <f>DATE(2020,11,15)</f>
        <v>44150</v>
      </c>
      <c r="C85" t="s">
        <v>95</v>
      </c>
      <c r="D85" t="s">
        <v>14</v>
      </c>
    </row>
    <row r="86" spans="1:4" ht="17.45" customHeight="1" x14ac:dyDescent="0.2">
      <c r="A86" t="s">
        <v>54</v>
      </c>
      <c r="B86" s="1">
        <f>DATE(2020,11,15)</f>
        <v>44150</v>
      </c>
      <c r="C86" t="s">
        <v>96</v>
      </c>
      <c r="D86" t="s">
        <v>14</v>
      </c>
    </row>
    <row r="87" spans="1:4" ht="17.45" customHeight="1" x14ac:dyDescent="0.2">
      <c r="A87" t="s">
        <v>54</v>
      </c>
      <c r="B87" s="1">
        <f>DATE(2020,10,29)</f>
        <v>44133</v>
      </c>
      <c r="C87" t="s">
        <v>97</v>
      </c>
      <c r="D87" t="s">
        <v>10</v>
      </c>
    </row>
    <row r="88" spans="1:4" ht="17.45" customHeight="1" x14ac:dyDescent="0.2">
      <c r="A88" t="s">
        <v>54</v>
      </c>
      <c r="B88" s="1">
        <f>DATE(2020,11,19)</f>
        <v>44154</v>
      </c>
      <c r="C88" t="s">
        <v>98</v>
      </c>
      <c r="D88" t="s">
        <v>10</v>
      </c>
    </row>
    <row r="89" spans="1:4" ht="17.45" customHeight="1" x14ac:dyDescent="0.2">
      <c r="A89" t="s">
        <v>54</v>
      </c>
      <c r="B89" s="1">
        <f>DATE(2020,12,3)</f>
        <v>44168</v>
      </c>
      <c r="C89" t="s">
        <v>99</v>
      </c>
      <c r="D89" t="s">
        <v>10</v>
      </c>
    </row>
    <row r="90" spans="1:4" ht="17.45" customHeight="1" x14ac:dyDescent="0.2">
      <c r="A90" t="s">
        <v>54</v>
      </c>
      <c r="B90" s="1">
        <f>DATE(2020,10,24)</f>
        <v>44128</v>
      </c>
      <c r="C90" t="s">
        <v>100</v>
      </c>
      <c r="D90" t="s">
        <v>14</v>
      </c>
    </row>
    <row r="91" spans="1:4" ht="17.45" customHeight="1" x14ac:dyDescent="0.2">
      <c r="A91" t="s">
        <v>54</v>
      </c>
      <c r="B91" s="1">
        <f>DATE(2020,11,19)</f>
        <v>44154</v>
      </c>
      <c r="C91" t="s">
        <v>101</v>
      </c>
      <c r="D91" t="s">
        <v>10</v>
      </c>
    </row>
    <row r="92" spans="1:4" ht="17.45" customHeight="1" x14ac:dyDescent="0.2">
      <c r="A92" t="s">
        <v>54</v>
      </c>
      <c r="B92" s="1">
        <f>DATE(2020,10,21)</f>
        <v>44125</v>
      </c>
      <c r="C92" t="s">
        <v>102</v>
      </c>
      <c r="D92" t="s">
        <v>14</v>
      </c>
    </row>
    <row r="93" spans="1:4" ht="17.45" customHeight="1" x14ac:dyDescent="0.2">
      <c r="A93" t="s">
        <v>54</v>
      </c>
      <c r="B93" s="1">
        <f>DATE(2020,11,15)</f>
        <v>44150</v>
      </c>
      <c r="C93" t="s">
        <v>103</v>
      </c>
      <c r="D93" t="s">
        <v>14</v>
      </c>
    </row>
    <row r="94" spans="1:4" ht="17.45" customHeight="1" x14ac:dyDescent="0.2">
      <c r="A94" t="s">
        <v>54</v>
      </c>
      <c r="B94" s="1">
        <f>DATE(2020,11,21)</f>
        <v>44156</v>
      </c>
      <c r="C94" t="s">
        <v>104</v>
      </c>
      <c r="D94" t="s">
        <v>14</v>
      </c>
    </row>
    <row r="95" spans="1:4" ht="17.45" customHeight="1" x14ac:dyDescent="0.2">
      <c r="A95" t="s">
        <v>54</v>
      </c>
      <c r="B95" s="1">
        <f>DATE(2020,11,21)</f>
        <v>44156</v>
      </c>
      <c r="C95" t="s">
        <v>105</v>
      </c>
      <c r="D95" t="s">
        <v>14</v>
      </c>
    </row>
    <row r="96" spans="1:4" ht="17.45" customHeight="1" x14ac:dyDescent="0.2">
      <c r="A96" t="s">
        <v>54</v>
      </c>
      <c r="B96" s="1">
        <f>DATE(2020,11,12)</f>
        <v>44147</v>
      </c>
      <c r="C96" t="s">
        <v>106</v>
      </c>
      <c r="D96" t="s">
        <v>10</v>
      </c>
    </row>
    <row r="97" spans="1:4" ht="17.45" customHeight="1" x14ac:dyDescent="0.2">
      <c r="A97" t="s">
        <v>54</v>
      </c>
      <c r="B97" s="1">
        <f>DATE(2020,12,3)</f>
        <v>44168</v>
      </c>
      <c r="C97" t="s">
        <v>107</v>
      </c>
      <c r="D97" t="s">
        <v>10</v>
      </c>
    </row>
    <row r="98" spans="1:4" ht="17.45" customHeight="1" x14ac:dyDescent="0.2">
      <c r="A98" t="s">
        <v>54</v>
      </c>
      <c r="B98" s="1">
        <f>DATE(2020,11,15)</f>
        <v>44150</v>
      </c>
      <c r="C98" t="s">
        <v>108</v>
      </c>
      <c r="D98" t="s">
        <v>10</v>
      </c>
    </row>
    <row r="99" spans="1:4" ht="17.45" customHeight="1" x14ac:dyDescent="0.2">
      <c r="A99" t="s">
        <v>54</v>
      </c>
      <c r="B99" s="1">
        <f>DATE(2020,12,5)</f>
        <v>44170</v>
      </c>
      <c r="C99" t="s">
        <v>109</v>
      </c>
      <c r="D99" t="s">
        <v>14</v>
      </c>
    </row>
    <row r="100" spans="1:4" ht="17.45" customHeight="1" x14ac:dyDescent="0.2">
      <c r="A100" t="s">
        <v>54</v>
      </c>
      <c r="B100" s="1">
        <f>DATE(2020,10,24)</f>
        <v>44128</v>
      </c>
      <c r="C100" t="s">
        <v>110</v>
      </c>
      <c r="D100" t="s">
        <v>14</v>
      </c>
    </row>
    <row r="101" spans="1:4" ht="17.45" customHeight="1" x14ac:dyDescent="0.2">
      <c r="A101" t="s">
        <v>54</v>
      </c>
      <c r="B101" s="1">
        <f>DATE(2020,10,21)</f>
        <v>44125</v>
      </c>
      <c r="C101" t="s">
        <v>111</v>
      </c>
      <c r="D101" t="s">
        <v>6</v>
      </c>
    </row>
    <row r="102" spans="1:4" ht="17.45" customHeight="1" x14ac:dyDescent="0.2">
      <c r="A102" t="s">
        <v>54</v>
      </c>
      <c r="B102" s="1">
        <f>DATE(2020,11,19)</f>
        <v>44154</v>
      </c>
      <c r="C102" t="s">
        <v>112</v>
      </c>
      <c r="D102" t="s">
        <v>10</v>
      </c>
    </row>
    <row r="103" spans="1:4" ht="17.45" customHeight="1" x14ac:dyDescent="0.2">
      <c r="A103" t="s">
        <v>54</v>
      </c>
      <c r="B103" s="1">
        <f>DATE(2020,10,21)</f>
        <v>44125</v>
      </c>
      <c r="C103" t="s">
        <v>113</v>
      </c>
      <c r="D103" t="s">
        <v>10</v>
      </c>
    </row>
    <row r="104" spans="1:4" ht="17.45" customHeight="1" x14ac:dyDescent="0.2">
      <c r="A104" t="s">
        <v>54</v>
      </c>
      <c r="B104" s="1">
        <f>DATE(2020,11,5)</f>
        <v>44140</v>
      </c>
      <c r="C104" t="s">
        <v>114</v>
      </c>
      <c r="D104" t="s">
        <v>10</v>
      </c>
    </row>
    <row r="105" spans="1:4" ht="17.45" customHeight="1" x14ac:dyDescent="0.2">
      <c r="A105" t="s">
        <v>54</v>
      </c>
      <c r="B105" s="1">
        <f>DATE(2020,11,14)</f>
        <v>44149</v>
      </c>
      <c r="C105" t="s">
        <v>115</v>
      </c>
      <c r="D105" t="s">
        <v>10</v>
      </c>
    </row>
    <row r="106" spans="1:4" ht="17.45" customHeight="1" x14ac:dyDescent="0.2">
      <c r="A106" t="s">
        <v>54</v>
      </c>
      <c r="B106" s="1">
        <f>DATE(2020,10,21)</f>
        <v>44125</v>
      </c>
      <c r="C106" t="s">
        <v>116</v>
      </c>
      <c r="D106" t="s">
        <v>14</v>
      </c>
    </row>
    <row r="107" spans="1:4" ht="17.45" customHeight="1" x14ac:dyDescent="0.2">
      <c r="A107" t="s">
        <v>54</v>
      </c>
      <c r="B107" s="1">
        <f>DATE(2020,11,9)</f>
        <v>44144</v>
      </c>
      <c r="C107" t="s">
        <v>117</v>
      </c>
      <c r="D107" t="s">
        <v>14</v>
      </c>
    </row>
    <row r="108" spans="1:4" ht="17.45" customHeight="1" x14ac:dyDescent="0.2">
      <c r="A108" t="s">
        <v>54</v>
      </c>
      <c r="B108" s="1">
        <f>DATE(2020,10,31)</f>
        <v>44135</v>
      </c>
      <c r="C108" t="s">
        <v>118</v>
      </c>
      <c r="D108" t="s">
        <v>14</v>
      </c>
    </row>
    <row r="109" spans="1:4" ht="17.45" customHeight="1" x14ac:dyDescent="0.2">
      <c r="A109" t="s">
        <v>54</v>
      </c>
      <c r="B109" s="1">
        <f>DATE(2020,10,24)</f>
        <v>44128</v>
      </c>
      <c r="C109" t="s">
        <v>119</v>
      </c>
      <c r="D109" t="s">
        <v>14</v>
      </c>
    </row>
    <row r="110" spans="1:4" ht="17.45" customHeight="1" x14ac:dyDescent="0.2">
      <c r="A110" t="s">
        <v>54</v>
      </c>
      <c r="B110" s="1">
        <f>DATE(2020,11,15)</f>
        <v>44150</v>
      </c>
      <c r="C110" t="s">
        <v>120</v>
      </c>
      <c r="D110" t="s">
        <v>14</v>
      </c>
    </row>
    <row r="111" spans="1:4" ht="17.45" customHeight="1" x14ac:dyDescent="0.2">
      <c r="A111" t="s">
        <v>54</v>
      </c>
      <c r="B111" s="1">
        <f>DATE(2020,11,14)</f>
        <v>44149</v>
      </c>
      <c r="C111" t="s">
        <v>121</v>
      </c>
      <c r="D111" t="s">
        <v>14</v>
      </c>
    </row>
    <row r="112" spans="1:4" ht="17.45" customHeight="1" x14ac:dyDescent="0.2">
      <c r="A112" t="s">
        <v>54</v>
      </c>
      <c r="B112" s="1">
        <f>DATE(2020,10,21)</f>
        <v>44125</v>
      </c>
      <c r="C112" t="s">
        <v>122</v>
      </c>
      <c r="D112" t="s">
        <v>10</v>
      </c>
    </row>
    <row r="113" spans="1:4" ht="17.45" customHeight="1" x14ac:dyDescent="0.2">
      <c r="A113" t="s">
        <v>54</v>
      </c>
      <c r="B113" s="1">
        <f>DATE(2020,10,31)</f>
        <v>44135</v>
      </c>
      <c r="C113" t="s">
        <v>123</v>
      </c>
      <c r="D113" t="s">
        <v>10</v>
      </c>
    </row>
    <row r="114" spans="1:4" ht="17.45" customHeight="1" x14ac:dyDescent="0.2">
      <c r="A114" t="s">
        <v>54</v>
      </c>
      <c r="B114" s="1">
        <f>DATE(2020,11,25)</f>
        <v>44160</v>
      </c>
      <c r="C114" t="s">
        <v>124</v>
      </c>
      <c r="D114" t="s">
        <v>10</v>
      </c>
    </row>
    <row r="115" spans="1:4" ht="17.45" customHeight="1" x14ac:dyDescent="0.2">
      <c r="A115" t="s">
        <v>54</v>
      </c>
      <c r="B115" s="1">
        <f>DATE(2020,11,17)</f>
        <v>44152</v>
      </c>
      <c r="C115" t="s">
        <v>125</v>
      </c>
      <c r="D115" t="s">
        <v>10</v>
      </c>
    </row>
    <row r="116" spans="1:4" ht="17.45" customHeight="1" x14ac:dyDescent="0.2">
      <c r="A116" t="s">
        <v>54</v>
      </c>
      <c r="B116" s="1">
        <f>DATE(2020,11,1)</f>
        <v>44136</v>
      </c>
      <c r="C116" t="s">
        <v>126</v>
      </c>
      <c r="D116" t="s">
        <v>10</v>
      </c>
    </row>
    <row r="117" spans="1:4" ht="17.45" customHeight="1" x14ac:dyDescent="0.2">
      <c r="A117" t="s">
        <v>54</v>
      </c>
      <c r="B117" s="1">
        <f>DATE(2020,11,1)</f>
        <v>44136</v>
      </c>
      <c r="C117" t="s">
        <v>127</v>
      </c>
      <c r="D117" t="s">
        <v>128</v>
      </c>
    </row>
    <row r="118" spans="1:4" ht="17.45" customHeight="1" x14ac:dyDescent="0.2">
      <c r="A118" t="s">
        <v>54</v>
      </c>
      <c r="B118" s="1">
        <f>DATE(2020,10,21)</f>
        <v>44125</v>
      </c>
      <c r="C118" t="s">
        <v>129</v>
      </c>
      <c r="D118" t="s">
        <v>10</v>
      </c>
    </row>
    <row r="119" spans="1:4" ht="17.45" customHeight="1" x14ac:dyDescent="0.2">
      <c r="A119" t="s">
        <v>54</v>
      </c>
      <c r="B119" s="1">
        <f>DATE(2020,10,21)</f>
        <v>44125</v>
      </c>
      <c r="C119" t="s">
        <v>130</v>
      </c>
      <c r="D119" t="s">
        <v>10</v>
      </c>
    </row>
    <row r="120" spans="1:4" ht="17.45" customHeight="1" x14ac:dyDescent="0.2">
      <c r="A120" t="s">
        <v>54</v>
      </c>
      <c r="B120" s="1">
        <f>DATE(2020,11,1)</f>
        <v>44136</v>
      </c>
      <c r="C120" t="s">
        <v>131</v>
      </c>
      <c r="D120" t="s">
        <v>10</v>
      </c>
    </row>
    <row r="121" spans="1:4" ht="17.45" customHeight="1" x14ac:dyDescent="0.2">
      <c r="A121" t="s">
        <v>54</v>
      </c>
      <c r="B121" s="1">
        <f>DATE(2020,11,16)</f>
        <v>44151</v>
      </c>
      <c r="C121" t="s">
        <v>132</v>
      </c>
      <c r="D121" t="s">
        <v>14</v>
      </c>
    </row>
    <row r="122" spans="1:4" ht="17.45" customHeight="1" x14ac:dyDescent="0.2">
      <c r="A122" t="s">
        <v>54</v>
      </c>
      <c r="B122" s="1">
        <f>DATE(2020,11,12)</f>
        <v>44147</v>
      </c>
      <c r="C122" t="s">
        <v>133</v>
      </c>
      <c r="D122" t="s">
        <v>14</v>
      </c>
    </row>
    <row r="123" spans="1:4" ht="17.45" customHeight="1" x14ac:dyDescent="0.2">
      <c r="A123" t="s">
        <v>54</v>
      </c>
      <c r="B123" s="1">
        <f>DATE(2020,11,12)</f>
        <v>44147</v>
      </c>
      <c r="C123" t="s">
        <v>134</v>
      </c>
      <c r="D123" t="s">
        <v>14</v>
      </c>
    </row>
    <row r="124" spans="1:4" ht="17.45" customHeight="1" x14ac:dyDescent="0.2">
      <c r="A124" t="s">
        <v>54</v>
      </c>
      <c r="B124" s="1">
        <f>DATE(2020,11,12)</f>
        <v>44147</v>
      </c>
      <c r="C124" t="s">
        <v>135</v>
      </c>
      <c r="D124" t="s">
        <v>14</v>
      </c>
    </row>
    <row r="125" spans="1:4" ht="17.45" customHeight="1" x14ac:dyDescent="0.2">
      <c r="A125" t="s">
        <v>54</v>
      </c>
      <c r="B125" s="1">
        <f>DATE(2020,11,12)</f>
        <v>44147</v>
      </c>
      <c r="C125" t="s">
        <v>136</v>
      </c>
      <c r="D125" t="s">
        <v>14</v>
      </c>
    </row>
    <row r="126" spans="1:4" ht="17.45" customHeight="1" x14ac:dyDescent="0.2">
      <c r="A126" t="s">
        <v>54</v>
      </c>
      <c r="B126" s="1">
        <f>DATE(2020,11,19)</f>
        <v>44154</v>
      </c>
      <c r="C126" t="s">
        <v>137</v>
      </c>
      <c r="D126" t="s">
        <v>14</v>
      </c>
    </row>
    <row r="127" spans="1:4" ht="17.45" customHeight="1" x14ac:dyDescent="0.2">
      <c r="A127" t="s">
        <v>54</v>
      </c>
      <c r="B127" s="1">
        <f>DATE(2020,12,3)</f>
        <v>44168</v>
      </c>
      <c r="C127" t="s">
        <v>138</v>
      </c>
      <c r="D127" t="s">
        <v>14</v>
      </c>
    </row>
    <row r="128" spans="1:4" ht="17.45" customHeight="1" x14ac:dyDescent="0.2">
      <c r="A128" t="s">
        <v>54</v>
      </c>
      <c r="B128" s="1">
        <f>DATE(2020,12,3)</f>
        <v>44168</v>
      </c>
      <c r="C128" t="s">
        <v>139</v>
      </c>
      <c r="D128" t="s">
        <v>14</v>
      </c>
    </row>
    <row r="129" spans="1:4" ht="17.45" customHeight="1" x14ac:dyDescent="0.2">
      <c r="A129" t="s">
        <v>54</v>
      </c>
      <c r="B129" s="1">
        <f>DATE(2020,12,3)</f>
        <v>44168</v>
      </c>
      <c r="C129" t="s">
        <v>140</v>
      </c>
      <c r="D129" t="s">
        <v>14</v>
      </c>
    </row>
    <row r="130" spans="1:4" ht="17.45" customHeight="1" x14ac:dyDescent="0.2">
      <c r="A130" t="s">
        <v>54</v>
      </c>
      <c r="B130" s="1">
        <f>DATE(2020,11,14)</f>
        <v>44149</v>
      </c>
      <c r="C130" t="s">
        <v>141</v>
      </c>
      <c r="D130" t="s">
        <v>14</v>
      </c>
    </row>
    <row r="131" spans="1:4" ht="17.45" customHeight="1" x14ac:dyDescent="0.2">
      <c r="A131" t="s">
        <v>54</v>
      </c>
      <c r="B131" s="1">
        <f>DATE(2020,11,16)</f>
        <v>44151</v>
      </c>
      <c r="C131" t="s">
        <v>142</v>
      </c>
      <c r="D131" t="s">
        <v>14</v>
      </c>
    </row>
    <row r="132" spans="1:4" ht="17.45" customHeight="1" x14ac:dyDescent="0.2">
      <c r="A132" t="s">
        <v>54</v>
      </c>
      <c r="B132" s="1">
        <f>DATE(2020,11,14)</f>
        <v>44149</v>
      </c>
      <c r="C132" t="s">
        <v>143</v>
      </c>
      <c r="D132" t="s">
        <v>14</v>
      </c>
    </row>
    <row r="133" spans="1:4" ht="17.45" customHeight="1" x14ac:dyDescent="0.2">
      <c r="A133" t="s">
        <v>54</v>
      </c>
      <c r="B133" s="1">
        <f>DATE(2020,11,14)</f>
        <v>44149</v>
      </c>
      <c r="C133" t="s">
        <v>144</v>
      </c>
      <c r="D133" t="s">
        <v>10</v>
      </c>
    </row>
    <row r="134" spans="1:4" ht="17.45" customHeight="1" x14ac:dyDescent="0.2">
      <c r="A134" t="s">
        <v>54</v>
      </c>
      <c r="B134" s="1">
        <f>DATE(2020,10,31)</f>
        <v>44135</v>
      </c>
      <c r="C134" t="s">
        <v>145</v>
      </c>
      <c r="D134" t="s">
        <v>14</v>
      </c>
    </row>
    <row r="135" spans="1:4" ht="17.45" customHeight="1" x14ac:dyDescent="0.2">
      <c r="A135" t="s">
        <v>54</v>
      </c>
      <c r="B135" s="1">
        <f>DATE(2020,11,2)</f>
        <v>44137</v>
      </c>
      <c r="C135" t="s">
        <v>146</v>
      </c>
      <c r="D135" t="s">
        <v>10</v>
      </c>
    </row>
    <row r="136" spans="1:4" ht="17.45" customHeight="1" x14ac:dyDescent="0.2">
      <c r="A136" t="s">
        <v>54</v>
      </c>
      <c r="B136" s="1">
        <f>DATE(2020,10,25)</f>
        <v>44129</v>
      </c>
      <c r="C136" t="s">
        <v>147</v>
      </c>
      <c r="D136" t="s">
        <v>14</v>
      </c>
    </row>
    <row r="137" spans="1:4" ht="17.45" customHeight="1" x14ac:dyDescent="0.2">
      <c r="A137" t="s">
        <v>54</v>
      </c>
      <c r="B137" s="1">
        <f>DATE(2020,10,31)</f>
        <v>44135</v>
      </c>
      <c r="C137" t="s">
        <v>148</v>
      </c>
      <c r="D137" t="s">
        <v>14</v>
      </c>
    </row>
    <row r="138" spans="1:4" ht="17.45" customHeight="1" x14ac:dyDescent="0.2">
      <c r="A138" t="s">
        <v>54</v>
      </c>
      <c r="B138" s="1">
        <f>DATE(2020,10,26)</f>
        <v>44130</v>
      </c>
      <c r="C138" t="s">
        <v>149</v>
      </c>
      <c r="D138" t="s">
        <v>14</v>
      </c>
    </row>
    <row r="139" spans="1:4" ht="17.45" customHeight="1" x14ac:dyDescent="0.2">
      <c r="A139" t="s">
        <v>54</v>
      </c>
      <c r="B139" s="1">
        <f>DATE(2020,11,2)</f>
        <v>44137</v>
      </c>
      <c r="C139" t="s">
        <v>150</v>
      </c>
      <c r="D139" t="s">
        <v>14</v>
      </c>
    </row>
    <row r="140" spans="1:4" ht="17.45" customHeight="1" x14ac:dyDescent="0.2">
      <c r="A140" t="s">
        <v>54</v>
      </c>
      <c r="B140" s="1">
        <f>DATE(2020,11,7)</f>
        <v>44142</v>
      </c>
      <c r="C140" t="s">
        <v>151</v>
      </c>
      <c r="D140" t="s">
        <v>10</v>
      </c>
    </row>
    <row r="141" spans="1:4" ht="17.45" customHeight="1" x14ac:dyDescent="0.2">
      <c r="A141" t="s">
        <v>54</v>
      </c>
      <c r="B141" s="1">
        <f>DATE(2020,11,7)</f>
        <v>44142</v>
      </c>
      <c r="C141" t="s">
        <v>152</v>
      </c>
      <c r="D141" t="s">
        <v>10</v>
      </c>
    </row>
    <row r="142" spans="1:4" ht="17.45" customHeight="1" x14ac:dyDescent="0.2">
      <c r="A142" t="s">
        <v>54</v>
      </c>
      <c r="B142" s="1">
        <f>DATE(2020,11,16)</f>
        <v>44151</v>
      </c>
      <c r="C142" t="s">
        <v>153</v>
      </c>
      <c r="D142" t="s">
        <v>14</v>
      </c>
    </row>
    <row r="143" spans="1:4" ht="17.45" customHeight="1" x14ac:dyDescent="0.2">
      <c r="A143" t="s">
        <v>54</v>
      </c>
      <c r="B143" s="1">
        <f>DATE(2020,10,26)</f>
        <v>44130</v>
      </c>
      <c r="C143" t="s">
        <v>154</v>
      </c>
      <c r="D143" t="s">
        <v>14</v>
      </c>
    </row>
    <row r="144" spans="1:4" ht="17.45" customHeight="1" x14ac:dyDescent="0.2">
      <c r="A144" t="s">
        <v>54</v>
      </c>
      <c r="B144" s="1">
        <f>DATE(2020,11,28)</f>
        <v>44163</v>
      </c>
      <c r="C144" t="s">
        <v>155</v>
      </c>
      <c r="D144" t="s">
        <v>14</v>
      </c>
    </row>
    <row r="145" spans="1:4" ht="17.45" customHeight="1" x14ac:dyDescent="0.2">
      <c r="A145" t="s">
        <v>54</v>
      </c>
      <c r="B145" s="1">
        <f>DATE(2020,11,28)</f>
        <v>44163</v>
      </c>
      <c r="C145" t="s">
        <v>156</v>
      </c>
      <c r="D145" t="s">
        <v>14</v>
      </c>
    </row>
    <row r="146" spans="1:4" ht="17.45" customHeight="1" x14ac:dyDescent="0.2">
      <c r="A146" t="s">
        <v>54</v>
      </c>
      <c r="B146" s="1">
        <f>DATE(2020,10,28)</f>
        <v>44132</v>
      </c>
      <c r="C146" t="s">
        <v>157</v>
      </c>
      <c r="D146" t="s">
        <v>14</v>
      </c>
    </row>
    <row r="147" spans="1:4" ht="17.45" customHeight="1" x14ac:dyDescent="0.2">
      <c r="A147" t="s">
        <v>54</v>
      </c>
      <c r="B147" s="1">
        <f>DATE(2020,11,15)</f>
        <v>44150</v>
      </c>
      <c r="C147" t="s">
        <v>158</v>
      </c>
      <c r="D147" t="s">
        <v>10</v>
      </c>
    </row>
    <row r="148" spans="1:4" ht="17.45" customHeight="1" x14ac:dyDescent="0.2">
      <c r="A148" t="s">
        <v>54</v>
      </c>
      <c r="B148" s="1">
        <f>DATE(2020,11,7)</f>
        <v>44142</v>
      </c>
      <c r="C148" t="s">
        <v>159</v>
      </c>
      <c r="D148" t="s">
        <v>10</v>
      </c>
    </row>
    <row r="149" spans="1:4" ht="17.45" customHeight="1" x14ac:dyDescent="0.2">
      <c r="A149" t="s">
        <v>54</v>
      </c>
      <c r="B149" s="1">
        <f>DATE(2020,11,14)</f>
        <v>44149</v>
      </c>
      <c r="C149" t="s">
        <v>160</v>
      </c>
      <c r="D149" t="s">
        <v>10</v>
      </c>
    </row>
    <row r="150" spans="1:4" ht="17.45" customHeight="1" x14ac:dyDescent="0.2">
      <c r="A150" t="s">
        <v>54</v>
      </c>
      <c r="B150" s="1">
        <f>DATE(2020,11,9)</f>
        <v>44144</v>
      </c>
      <c r="C150" t="s">
        <v>161</v>
      </c>
      <c r="D150" t="s">
        <v>14</v>
      </c>
    </row>
    <row r="151" spans="1:4" ht="17.45" customHeight="1" x14ac:dyDescent="0.2">
      <c r="A151" t="s">
        <v>54</v>
      </c>
      <c r="B151" s="1">
        <f>DATE(2020,10,26)</f>
        <v>44130</v>
      </c>
      <c r="C151" t="s">
        <v>162</v>
      </c>
      <c r="D151" t="s">
        <v>14</v>
      </c>
    </row>
    <row r="152" spans="1:4" ht="17.45" customHeight="1" x14ac:dyDescent="0.2">
      <c r="A152" t="s">
        <v>54</v>
      </c>
      <c r="B152" s="1">
        <f>DATE(2020,11,10)</f>
        <v>44145</v>
      </c>
      <c r="C152" t="s">
        <v>163</v>
      </c>
      <c r="D152" t="s">
        <v>14</v>
      </c>
    </row>
    <row r="153" spans="1:4" ht="17.45" customHeight="1" x14ac:dyDescent="0.2">
      <c r="A153" t="s">
        <v>54</v>
      </c>
      <c r="B153" s="1">
        <f>DATE(2020,11,14)</f>
        <v>44149</v>
      </c>
      <c r="C153" t="s">
        <v>164</v>
      </c>
      <c r="D153" t="s">
        <v>14</v>
      </c>
    </row>
    <row r="154" spans="1:4" ht="17.45" customHeight="1" x14ac:dyDescent="0.2">
      <c r="A154" t="s">
        <v>54</v>
      </c>
      <c r="B154" s="1">
        <f>DATE(2020,11,9)</f>
        <v>44144</v>
      </c>
      <c r="C154" t="s">
        <v>165</v>
      </c>
      <c r="D154" t="s">
        <v>14</v>
      </c>
    </row>
    <row r="155" spans="1:4" ht="17.45" customHeight="1" x14ac:dyDescent="0.2">
      <c r="A155" t="s">
        <v>54</v>
      </c>
      <c r="B155" s="1">
        <f>DATE(2020,10,28)</f>
        <v>44132</v>
      </c>
      <c r="C155" t="s">
        <v>166</v>
      </c>
      <c r="D155" t="s">
        <v>14</v>
      </c>
    </row>
    <row r="156" spans="1:4" ht="17.45" customHeight="1" x14ac:dyDescent="0.2">
      <c r="A156" t="s">
        <v>54</v>
      </c>
      <c r="B156" s="1">
        <f>DATE(2020,10,26)</f>
        <v>44130</v>
      </c>
      <c r="C156" t="s">
        <v>167</v>
      </c>
      <c r="D156" t="s">
        <v>14</v>
      </c>
    </row>
    <row r="157" spans="1:4" ht="17.45" customHeight="1" x14ac:dyDescent="0.2">
      <c r="A157" t="s">
        <v>54</v>
      </c>
      <c r="B157" s="1">
        <f>DATE(2020,10,21)</f>
        <v>44125</v>
      </c>
      <c r="C157" t="s">
        <v>168</v>
      </c>
      <c r="D157" t="s">
        <v>14</v>
      </c>
    </row>
    <row r="158" spans="1:4" ht="17.45" customHeight="1" x14ac:dyDescent="0.2">
      <c r="A158" t="s">
        <v>54</v>
      </c>
      <c r="B158" s="1">
        <f>DATE(2020,11,14)</f>
        <v>44149</v>
      </c>
      <c r="C158" t="s">
        <v>169</v>
      </c>
      <c r="D158" t="s">
        <v>14</v>
      </c>
    </row>
    <row r="159" spans="1:4" ht="17.45" customHeight="1" x14ac:dyDescent="0.2">
      <c r="A159" t="s">
        <v>54</v>
      </c>
      <c r="B159" s="1">
        <f>DATE(2020,11,7)</f>
        <v>44142</v>
      </c>
      <c r="C159" t="s">
        <v>170</v>
      </c>
      <c r="D159" t="s">
        <v>10</v>
      </c>
    </row>
    <row r="160" spans="1:4" ht="17.45" customHeight="1" x14ac:dyDescent="0.2">
      <c r="A160" t="s">
        <v>54</v>
      </c>
      <c r="B160" s="1">
        <f>DATE(2020,11,14)</f>
        <v>44149</v>
      </c>
      <c r="C160" t="s">
        <v>171</v>
      </c>
      <c r="D1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 - Open Purchase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 M. Torres</dc:creator>
  <cp:lastModifiedBy>Loren M. Torres</cp:lastModifiedBy>
  <dcterms:created xsi:type="dcterms:W3CDTF">2020-10-20T21:49:24Z</dcterms:created>
  <dcterms:modified xsi:type="dcterms:W3CDTF">2020-10-20T21:49:24Z</dcterms:modified>
</cp:coreProperties>
</file>